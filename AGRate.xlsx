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Y" sheetId="1" r:id="rId1"/>
  </sheets>
  <definedNames>
    <definedName name="_xlnm._FilterDatabase" localSheetId="0" hidden="1">Y!$B$1:$G$3</definedName>
  </definedNames>
  <calcPr calcId="144525"/>
</workbook>
</file>

<file path=xl/calcChain.xml><?xml version="1.0" encoding="utf-8"?>
<calcChain xmlns="http://schemas.openxmlformats.org/spreadsheetml/2006/main">
  <c r="J6" i="1" l="1"/>
  <c r="I6" i="1"/>
  <c r="H6" i="1"/>
  <c r="H5" i="1"/>
  <c r="J5" i="1" s="1"/>
  <c r="H4" i="1"/>
  <c r="I4" i="1" s="1"/>
  <c r="J3" i="1"/>
  <c r="H3" i="1"/>
  <c r="I3" i="1" s="1"/>
  <c r="G2" i="1"/>
  <c r="F2" i="1"/>
  <c r="E2" i="1"/>
  <c r="I2" i="1" l="1"/>
  <c r="J2" i="1" s="1"/>
  <c r="I5" i="1"/>
  <c r="J4" i="1"/>
</calcChain>
</file>

<file path=xl/sharedStrings.xml><?xml version="1.0" encoding="utf-8"?>
<sst xmlns="http://schemas.openxmlformats.org/spreadsheetml/2006/main" count="24" uniqueCount="16">
  <si>
    <t>AsOn</t>
  </si>
  <si>
    <t>Items</t>
  </si>
  <si>
    <t>InvesDate</t>
  </si>
  <si>
    <t>Quantity</t>
  </si>
  <si>
    <t>Cost</t>
  </si>
  <si>
    <t>CurrValue</t>
  </si>
  <si>
    <t>Gain</t>
  </si>
  <si>
    <t>Days</t>
  </si>
  <si>
    <t>CostYear</t>
  </si>
  <si>
    <t>AGRate</t>
  </si>
  <si>
    <t>Total</t>
  </si>
  <si>
    <t>Cash</t>
  </si>
  <si>
    <t>Item1</t>
  </si>
  <si>
    <t>Item2</t>
  </si>
  <si>
    <t>Item3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</si>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</sst>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m/d/yy"/>
  </numFmts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Fill="1" applyBorder="1" applyAlignment="1">
      <alignment horizontal="right" vertical="top"/>
    </xf>
    <xf numFmtId="14" fontId="1" fillId="0" borderId="0" xfId="0" applyNumberFormat="1" applyFont="1" applyFill="1" applyBorder="1" applyAlignment="1">
      <alignment horizontal="right" vertical="top"/>
    </xf>
    <xf numFmtId="165" fontId="1" fillId="0" borderId="0" xfId="0" applyNumberFormat="1" applyFont="1" applyFill="1" applyBorder="1" applyAlignment="1">
      <alignment horizontal="right" vertical="top"/>
    </xf>
    <xf numFmtId="4" fontId="1" fillId="0" borderId="0" xfId="0" applyNumberFormat="1" applyFont="1" applyFill="1" applyBorder="1" applyAlignment="1">
      <alignment horizontal="right" vertical="top"/>
    </xf>
    <xf numFmtId="3" fontId="1" fillId="0" borderId="0" xfId="0" applyNumberFormat="1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/>
    </xf>
    <xf numFmtId="0" fontId="2" fillId="0" borderId="0" xfId="0" applyNumberFormat="1" applyFont="1" applyAlignment="1">
      <alignment horizontal="right" vertical="top"/>
    </xf>
    <xf numFmtId="4" fontId="1" fillId="2" borderId="0" xfId="0" applyNumberFormat="1" applyFont="1" applyFill="1" applyBorder="1" applyAlignment="1">
      <alignment horizontal="right" vertical="top"/>
    </xf>
    <xf numFmtId="4" fontId="2" fillId="2" borderId="0" xfId="0" applyNumberFormat="1" applyFont="1" applyFill="1" applyAlignment="1">
      <alignment horizontal="right" vertical="top"/>
    </xf>
    <xf numFmtId="4" fontId="2" fillId="3" borderId="0" xfId="0" applyNumberFormat="1" applyFont="1" applyFill="1" applyAlignment="1">
      <alignment horizontal="right" vertical="top"/>
    </xf>
    <xf numFmtId="3" fontId="2" fillId="4" borderId="0" xfId="0" applyNumberFormat="1" applyFont="1" applyFill="1" applyAlignment="1">
      <alignment horizontal="right" vertical="top"/>
    </xf>
    <xf numFmtId="4" fontId="2" fillId="5" borderId="0" xfId="0" applyNumberFormat="1" applyFont="1" applyFill="1" applyAlignment="1">
      <alignment horizontal="right" vertical="top"/>
    </xf>
    <xf numFmtId="4" fontId="2" fillId="6" borderId="0" xfId="0" applyNumberFormat="1" applyFont="1" applyFill="1" applyAlignment="1">
      <alignment horizontal="right" vertical="top"/>
    </xf>
    <xf numFmtId="0" fontId="1" fillId="0" borderId="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25"/>
  <sheetViews>
    <sheetView tabSelected="1" workbookViewId="0">
      <pane ySplit="1" topLeftCell="A2" activePane="bottomLeft" state="frozen"/>
      <selection pane="bottomLeft" activeCell="M8" sqref="M8"/>
    </sheetView>
  </sheetViews>
  <sheetFormatPr defaultColWidth="5.7109375" defaultRowHeight="15.75" x14ac:dyDescent="0.25"/>
  <cols>
    <col min="1" max="1" width="9" style="1" bestFit="1" customWidth="1"/>
    <col min="2" max="2" width="6" style="14" bestFit="1" customWidth="1"/>
    <col min="3" max="3" width="9.7109375" style="3" bestFit="1" customWidth="1"/>
    <col min="4" max="4" width="8.28515625" style="4" bestFit="1" customWidth="1"/>
    <col min="5" max="6" width="10.140625" style="4" bestFit="1" customWidth="1"/>
    <col min="7" max="7" width="9" style="4" bestFit="1" customWidth="1"/>
    <col min="8" max="8" width="5.42578125" style="5" bestFit="1" customWidth="1"/>
    <col min="9" max="9" width="10.140625" style="4" bestFit="1" customWidth="1"/>
    <col min="10" max="10" width="8.140625" style="4" bestFit="1" customWidth="1"/>
    <col min="11" max="16384" width="5.7109375" style="6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</row>
    <row r="2" spans="1:10" x14ac:dyDescent="0.25">
      <c r="A2" s="1">
        <v>45962</v>
      </c>
      <c r="B2" s="7" t="s">
        <v>10</v>
      </c>
      <c r="E2" s="8">
        <f>SUM(E3:E6)</f>
        <v>56000</v>
      </c>
      <c r="F2" s="8">
        <f t="shared" ref="F2:I2" si="0">SUM(F3:F6)</f>
        <v>59000</v>
      </c>
      <c r="G2" s="8">
        <f t="shared" si="0"/>
        <v>3000</v>
      </c>
      <c r="I2" s="9">
        <f t="shared" si="0"/>
        <v>13126.029999999999</v>
      </c>
      <c r="J2" s="10">
        <f>ROUND(100*G2/I2,2)</f>
        <v>22.86</v>
      </c>
    </row>
    <row r="3" spans="1:10" x14ac:dyDescent="0.25">
      <c r="A3" s="1">
        <v>45962</v>
      </c>
      <c r="B3" s="7" t="s">
        <v>11</v>
      </c>
      <c r="C3" s="3">
        <v>45839</v>
      </c>
      <c r="E3" s="4">
        <v>20000</v>
      </c>
      <c r="F3" s="4">
        <v>20000</v>
      </c>
      <c r="G3" s="4">
        <v>0</v>
      </c>
      <c r="H3" s="11">
        <f>A3-C3</f>
        <v>123</v>
      </c>
      <c r="I3" s="12">
        <f>ROUND(F3*H3/365,2)</f>
        <v>6739.73</v>
      </c>
      <c r="J3" s="13">
        <f>ROUND(-100+100*((F3/E3)^(365/H3)),2)</f>
        <v>0</v>
      </c>
    </row>
    <row r="4" spans="1:10" x14ac:dyDescent="0.25">
      <c r="A4" s="1">
        <v>45962</v>
      </c>
      <c r="B4" s="7" t="s">
        <v>12</v>
      </c>
      <c r="C4" s="3">
        <v>45870</v>
      </c>
      <c r="D4" s="4">
        <v>110</v>
      </c>
      <c r="E4" s="4">
        <v>11000</v>
      </c>
      <c r="F4" s="4">
        <v>12000</v>
      </c>
      <c r="G4" s="4">
        <v>1000</v>
      </c>
      <c r="H4" s="11">
        <f t="shared" ref="H4:H6" si="1">A4-C4</f>
        <v>92</v>
      </c>
      <c r="I4" s="12">
        <f t="shared" ref="I4:I6" si="2">ROUND(F4*H4/365,2)</f>
        <v>3024.66</v>
      </c>
      <c r="J4" s="13">
        <f t="shared" ref="J4:J6" si="3">ROUND(-100+100*((F4/E4)^(365/H4)),2)</f>
        <v>41.23</v>
      </c>
    </row>
    <row r="5" spans="1:10" x14ac:dyDescent="0.25">
      <c r="A5" s="1">
        <v>45962</v>
      </c>
      <c r="B5" s="7" t="s">
        <v>13</v>
      </c>
      <c r="C5" s="3">
        <v>45901</v>
      </c>
      <c r="D5" s="4">
        <v>120</v>
      </c>
      <c r="E5" s="4">
        <v>12000</v>
      </c>
      <c r="F5" s="4">
        <v>13000</v>
      </c>
      <c r="G5" s="4">
        <v>1000</v>
      </c>
      <c r="H5" s="11">
        <f t="shared" si="1"/>
        <v>61</v>
      </c>
      <c r="I5" s="12">
        <f t="shared" si="2"/>
        <v>2172.6</v>
      </c>
      <c r="J5" s="13">
        <f t="shared" si="3"/>
        <v>61.44</v>
      </c>
    </row>
    <row r="6" spans="1:10" x14ac:dyDescent="0.25">
      <c r="A6" s="1">
        <v>45962</v>
      </c>
      <c r="B6" s="7" t="s">
        <v>14</v>
      </c>
      <c r="C6" s="3">
        <v>45931</v>
      </c>
      <c r="D6" s="4">
        <v>130</v>
      </c>
      <c r="E6" s="4">
        <v>13000</v>
      </c>
      <c r="F6" s="4">
        <v>14000</v>
      </c>
      <c r="G6" s="4">
        <v>1000</v>
      </c>
      <c r="H6" s="11">
        <f t="shared" si="1"/>
        <v>31</v>
      </c>
      <c r="I6" s="12">
        <f t="shared" si="2"/>
        <v>1189.04</v>
      </c>
      <c r="J6" s="13">
        <f t="shared" si="3"/>
        <v>139.30000000000001</v>
      </c>
    </row>
    <row r="7" spans="1:10" x14ac:dyDescent="0.25">
      <c r="B7" s="7"/>
      <c r="J7" s="4" t="s">
        <v>15</v>
      </c>
    </row>
    <row r="8" spans="1:10" x14ac:dyDescent="0.25">
      <c r="B8" s="7"/>
      <c r="J8" s="4" t="s">
        <v>15</v>
      </c>
    </row>
    <row r="9" spans="1:10" x14ac:dyDescent="0.25">
      <c r="B9" s="7"/>
      <c r="J9" s="4" t="s">
        <v>15</v>
      </c>
    </row>
    <row r="10" spans="1:10" x14ac:dyDescent="0.25">
      <c r="B10" s="7"/>
      <c r="J10" s="4" t="s">
        <v>15</v>
      </c>
    </row>
    <row r="11" spans="1:10" x14ac:dyDescent="0.25">
      <c r="B11" s="7"/>
      <c r="J11" s="4" t="s">
        <v>15</v>
      </c>
    </row>
    <row r="12" spans="1:10" x14ac:dyDescent="0.25">
      <c r="B12" s="7"/>
      <c r="J12" s="4" t="s">
        <v>15</v>
      </c>
    </row>
    <row r="13" spans="1:10" x14ac:dyDescent="0.25">
      <c r="B13" s="7"/>
      <c r="J13" s="4" t="s">
        <v>15</v>
      </c>
    </row>
    <row r="14" spans="1:10" x14ac:dyDescent="0.25">
      <c r="B14" s="7"/>
      <c r="J14" s="4" t="s">
        <v>15</v>
      </c>
    </row>
    <row r="15" spans="1:10" x14ac:dyDescent="0.25">
      <c r="B15" s="7"/>
      <c r="J15" s="4" t="s">
        <v>15</v>
      </c>
    </row>
    <row r="16" spans="1:10" x14ac:dyDescent="0.25">
      <c r="B16" s="7"/>
    </row>
    <row r="17" spans="2:2" x14ac:dyDescent="0.25">
      <c r="B17" s="7"/>
    </row>
    <row r="18" spans="2:2" x14ac:dyDescent="0.25">
      <c r="B18" s="7"/>
    </row>
    <row r="19" spans="2:2" x14ac:dyDescent="0.25">
      <c r="B19" s="7"/>
    </row>
    <row r="20" spans="2:2" x14ac:dyDescent="0.25">
      <c r="B20" s="7"/>
    </row>
    <row r="21" spans="2:2" x14ac:dyDescent="0.25">
      <c r="B21" s="7"/>
    </row>
    <row r="22" spans="2:2" x14ac:dyDescent="0.25">
      <c r="B22" s="7"/>
    </row>
    <row r="23" spans="2:2" x14ac:dyDescent="0.25">
      <c r="B23" s="7"/>
    </row>
    <row r="24" spans="2:2" x14ac:dyDescent="0.25">
      <c r="B24" s="7"/>
    </row>
    <row r="25" spans="2:2" x14ac:dyDescent="0.25">
      <c r="B25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2025-11-02T21:03:20Z</dcterms:created>
  <dcterms:modified xsi:type="dcterms:W3CDTF">2025-11-02T21:03:45Z</dcterms:modified>
</cp:coreProperties>
</file>